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lan\Downloads\"/>
    </mc:Choice>
  </mc:AlternateContent>
  <bookViews>
    <workbookView xWindow="0" yWindow="0" windowWidth="25600" windowHeight="12380" activeTab="1"/>
  </bookViews>
  <sheets>
    <sheet name="National_Yearwise" sheetId="1" r:id="rId1"/>
    <sheet name="Statewise_Collection" sheetId="2" r:id="rId2"/>
    <sheet name="README_DataDictionary" sheetId="3" r:id="rId3"/>
    <sheet name="Global_Benchmarking" sheetId="4" r:id="rId4"/>
  </sheets>
  <calcPr calcId="152511"/>
</workbook>
</file>

<file path=xl/calcChain.xml><?xml version="1.0" encoding="utf-8"?>
<calcChain xmlns="http://schemas.openxmlformats.org/spreadsheetml/2006/main">
  <c r="E34" i="2" l="1"/>
  <c r="D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4" i="2"/>
  <c r="F24" i="2"/>
  <c r="G22" i="2"/>
  <c r="F22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D10" i="1"/>
  <c r="D9" i="1"/>
  <c r="D8" i="1"/>
  <c r="D5" i="1"/>
  <c r="D4" i="1"/>
</calcChain>
</file>

<file path=xl/sharedStrings.xml><?xml version="1.0" encoding="utf-8"?>
<sst xmlns="http://schemas.openxmlformats.org/spreadsheetml/2006/main" count="219" uniqueCount="164">
  <si>
    <t>India E-Waste – National Year-wise Generation &amp; Recycling</t>
  </si>
  <si>
    <t>Sources: RS Session 266/AU-2384 (gen 2019-24) | RS Session 265/AU-1177 (gen+recycled 2021-24) | CPCB Annual Reports (2017-19) | Global E-Waste Monitor 2024 (ITU/UNITAR)</t>
  </si>
  <si>
    <t>Financial Year</t>
  </si>
  <si>
    <t>E-Waste Generated
(Tonnes)</t>
  </si>
  <si>
    <t>E-Waste Recycled /
Processed (Tonnes)</t>
  </si>
  <si>
    <t>Recycling Rate
(%)</t>
  </si>
  <si>
    <t>YoY Growth –
Generation (%)</t>
  </si>
  <si>
    <t>Data Source</t>
  </si>
  <si>
    <t>Remarks</t>
  </si>
  <si>
    <t>2017-18</t>
  </si>
  <si>
    <t>–</t>
  </si>
  <si>
    <t>CPCB Annual Report 2018-19</t>
  </si>
  <si>
    <t>Baseline year; 21-EEE category rules</t>
  </si>
  <si>
    <t>2018-19</t>
  </si>
  <si>
    <t>CPCB Annual Report 2019-20</t>
  </si>
  <si>
    <t>MoEFCC Annual Report 2019</t>
  </si>
  <si>
    <t>2019-20</t>
  </si>
  <si>
    <t>N/A</t>
  </si>
  <si>
    <t>RS Session 266/AU-2384 (Official)</t>
  </si>
  <si>
    <t>Sharp rise post EPR mandate</t>
  </si>
  <si>
    <t>2020-21</t>
  </si>
  <si>
    <t>State-wise collection data available</t>
  </si>
  <si>
    <t>2021-22</t>
  </si>
  <si>
    <t>RS Session 265 &amp; 266 (Official)</t>
  </si>
  <si>
    <t>State collection: RS Session 263</t>
  </si>
  <si>
    <t>2022-23</t>
  </si>
  <si>
    <t>RS Session 265/AU-1177 (Official)</t>
  </si>
  <si>
    <t>Marginal generation growth</t>
  </si>
  <si>
    <t>2023-24</t>
  </si>
  <si>
    <t>Highest recycling volume on record</t>
  </si>
  <si>
    <t>India E-Waste – State/UT-wise Collection &amp; Processing (Official Data)</t>
  </si>
  <si>
    <t>Source: Rajya Sabha Session 263 / AU-670 (Official Government Data – data.gov.in). Figures represent e-waste collected and processed at registered facilities (Tonnes). NA = Data not reported.</t>
  </si>
  <si>
    <t>Sl. No.</t>
  </si>
  <si>
    <t>State / UT</t>
  </si>
  <si>
    <t>Zone</t>
  </si>
  <si>
    <t>2020-21
Collected &amp; Processed (Tonnes)</t>
  </si>
  <si>
    <t>2021-22
Collected &amp; Processed (Tonnes)</t>
  </si>
  <si>
    <t>YoY Change
(Tonnes)</t>
  </si>
  <si>
    <t>YoY Change
(%)</t>
  </si>
  <si>
    <t>Andhra Pradesh</t>
  </si>
  <si>
    <t>South</t>
  </si>
  <si>
    <t>Andaman and Nicobar Islands</t>
  </si>
  <si>
    <t>Island</t>
  </si>
  <si>
    <t>Assam</t>
  </si>
  <si>
    <t>NE</t>
  </si>
  <si>
    <t>Bihar</t>
  </si>
  <si>
    <t>East</t>
  </si>
  <si>
    <t>Chandigarh</t>
  </si>
  <si>
    <t>North</t>
  </si>
  <si>
    <t>Chhattisgarh</t>
  </si>
  <si>
    <t>Central</t>
  </si>
  <si>
    <t>Dadra and Nagar Haveli and Daman and Diu</t>
  </si>
  <si>
    <t>West</t>
  </si>
  <si>
    <t>Delhi</t>
  </si>
  <si>
    <t>Gujarat</t>
  </si>
  <si>
    <t>Haryana</t>
  </si>
  <si>
    <t>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</si>
  <si>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</si>
  <si>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</si>
  <si>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</si>
  <si>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</si>
  <si>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</si>
  <si>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</si>
  <si>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</si>
  <si>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</si>
  <si>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</si>
  <si>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</si>
  <si>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</si>
  <si>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</si>
  <si>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</si>
  <si>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</si>
  <si>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</si>
  <si>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</si>
  <si>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</si>
  <si>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</si>
  <si>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</si>
  <si>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West Bengal</t>
  </si>
  <si>
    <t>INDIA TOTAL</t>
  </si>
  <si>
    <t>Official Total (CSV)</t>
  </si>
  <si>
    <t>← Verify totals match above</t>
  </si>
  <si>
    <t>★ NA = Data not reported by state to CPCB for that year  |  Zone colours: Green=North, Blue=South, Orange=East, Purple=West, Pink=Central, Cyan=NE</t>
  </si>
  <si>
    <t>E-Waste Dataset – README &amp; Data Dictionary</t>
  </si>
  <si>
    <t>PURPOSE</t>
  </si>
  <si>
    <t>Portfolio project dataset for Data Analyst role applications. Compiled from official Indian Government parliamentary sources and UN Global E-waste Monitor 2024. Real CSV data uploaded from data.gov.in.</t>
  </si>
  <si>
    <t>SHEETS &amp; COVERAGE</t>
  </si>
  <si>
    <t xml:space="preserve">  National_Yearwise</t>
  </si>
  <si>
    <t>Year-wise national e-waste generation &amp; recycling (2017-18 to 2023-24). 2019-24 generation from RS Session 266. 2021-24 recycling from RS Session 265. Earlier years from CPCB Annual Reports.</t>
  </si>
  <si>
    <t xml:space="preserve">  Statewise_Collection</t>
  </si>
  <si>
    <t>State/UT-wise e-waste collected &amp; processed for 2020-21 and 2021-22 (30 states/UTs). 100% real official data from RS Session 263.</t>
  </si>
  <si>
    <t xml:space="preserve">  Global_Benchmarking</t>
  </si>
  <si>
    <t>Country-level e-waste generation &amp; recycling comparison. Source: Global E-Waste Monitor 2024 (ITU/UNITAR).</t>
  </si>
  <si>
    <t>OFFICIAL DATA SOURCES</t>
  </si>
  <si>
    <t xml:space="preserve">  RS Session 263</t>
  </si>
  <si>
    <t>Rajya Sabha Q&amp;A AU-670 – State/UT-wise e-waste collected &amp; processed 2020-21 to 2021-22</t>
  </si>
  <si>
    <t xml:space="preserve">  RS Session 265</t>
  </si>
  <si>
    <t>Rajya Sabha Q&amp;A AU-1177 – National e-waste generation &amp; recycled 2021-22 to 2023-24</t>
  </si>
  <si>
    <t xml:space="preserve">  RS Session 266</t>
  </si>
  <si>
    <t>Rajya Sabha Q&amp;A AU-2384 – National e-waste generation 2019-20 to 2023-24</t>
  </si>
  <si>
    <t xml:space="preserve">  Global Monitor</t>
  </si>
  <si>
    <t>Global E-Waste Monitor 2024 – ITU &amp; UNITAR – globalewaste.org</t>
  </si>
  <si>
    <t>KEY TERMS</t>
  </si>
  <si>
    <t xml:space="preserve">  E-Waste Generated</t>
  </si>
  <si>
    <t>Estimated total end-of-life EEE quantity as per EPR targets (Tonnes)</t>
  </si>
  <si>
    <t xml:space="preserve">  Collected/Processed</t>
  </si>
  <si>
    <t>Quantity channelised to &amp; processed at CPCB-registered recyclers under EPR obligations</t>
  </si>
  <si>
    <t xml:space="preserve">  Recycling Rate</t>
  </si>
  <si>
    <t>(Recycled Tonnes ÷ Generated Tonnes) × 100</t>
  </si>
  <si>
    <t xml:space="preserve">  NA</t>
  </si>
  <si>
    <t>Data not reported by that State/UT to CPCB for that financial year</t>
  </si>
  <si>
    <t xml:space="preserve">  EPR</t>
  </si>
  <si>
    <t>Extended Producer Responsibility – producers responsible for product end-of-life management</t>
  </si>
  <si>
    <t>IMPORTANT CAVEATS</t>
  </si>
  <si>
    <t xml:space="preserve">  Caveat 1</t>
  </si>
  <si>
    <t>State-wise data (RS 263) covers only 2020-21 and 2021-22. No later state-wise CSV was available.</t>
  </si>
  <si>
    <t xml:space="preserve">  Caveat 2</t>
  </si>
  <si>
    <t>'Collected &amp; Processed' in state data = quantity processed at registered facilities only. Informal/unregistered recycling (est. 70-80% of total) is NOT captured.</t>
  </si>
  <si>
    <t xml:space="preserve">  Caveat 3</t>
  </si>
  <si>
    <t>Haryana 2020-21 and some NE states show NA – data not submitted by state to CPCB.</t>
  </si>
  <si>
    <t xml:space="preserve">  Caveat 4</t>
  </si>
  <si>
    <t>2017-19 national figures from CPCB Annual Reports (not parliamentary CSV). Treat as estimates.</t>
  </si>
  <si>
    <t>SUGGESTED ANALYSIS QUESTIONS</t>
  </si>
  <si>
    <t xml:space="preserve">  Q1</t>
  </si>
  <si>
    <t>Which states have the highest e-waste collection growth (2020-21 vs 2021-22)?</t>
  </si>
  <si>
    <t xml:space="preserve">  Q2</t>
  </si>
  <si>
    <t>How does India's recycling rate trajectory compare to global peers since 2019?</t>
  </si>
  <si>
    <t xml:space="preserve">  Q3</t>
  </si>
  <si>
    <t>Which zones (North/South/East/West/NE) are most at risk from underreporting or low collection?</t>
  </si>
  <si>
    <t xml:space="preserve">  Q4</t>
  </si>
  <si>
    <t>What is the gap between generated and recycled e-waste nationally — and what is its monetary value?</t>
  </si>
  <si>
    <t xml:space="preserve">  Q5</t>
  </si>
  <si>
    <t>Can you identify outlier states (e.g. Chhattisgarh 16x growth) and explain possible causes?</t>
  </si>
  <si>
    <t>Global E-Waste Benchmarking – Selected Countries (2022) + India Context</t>
  </si>
  <si>
    <t>Source: Global E-Waste Monitor 2024 – ITU &amp; UNITAR (globalewaste.org). Reference year 2022.</t>
  </si>
  <si>
    <t>Country</t>
  </si>
  <si>
    <t>Region</t>
  </si>
  <si>
    <t>Total E-Waste
Generated (kt)</t>
  </si>
  <si>
    <t>Per Capita
E-Waste (kg/person)</t>
  </si>
  <si>
    <t>Formally
Recycled (kt)</t>
  </si>
  <si>
    <t>Recycling
Rate (%)</t>
  </si>
  <si>
    <t>EPR
Legislation</t>
  </si>
  <si>
    <t>China</t>
  </si>
  <si>
    <t>Asia</t>
  </si>
  <si>
    <t>Yes</t>
  </si>
  <si>
    <t>USA</t>
  </si>
  <si>
    <t>Americas</t>
  </si>
  <si>
    <t>Partial</t>
  </si>
  <si>
    <t>India</t>
  </si>
  <si>
    <t>Japan</t>
  </si>
  <si>
    <t>Germany</t>
  </si>
  <si>
    <t>Europe</t>
  </si>
  <si>
    <t>UK</t>
  </si>
  <si>
    <t>France</t>
  </si>
  <si>
    <t>Brazil</t>
  </si>
  <si>
    <t>Russia</t>
  </si>
  <si>
    <t>Europe/Asia</t>
  </si>
  <si>
    <t>South Korea</t>
  </si>
  <si>
    <t>Nigeria</t>
  </si>
  <si>
    <t>Africa</t>
  </si>
  <si>
    <t>No</t>
  </si>
  <si>
    <t>Bangladesh</t>
  </si>
  <si>
    <t>WORLD TOTAL</t>
  </si>
  <si>
    <t>Global</t>
  </si>
  <si>
    <t>81 countries</t>
  </si>
  <si>
    <t>★ India Note: Per-capita e-waste (1.1 kg) is far below global avg (7.8 kg) but total volume ranks 3rd globally. Recycling rate improved from 9.8% (2017-18) to 43.5% (2023-24) per official RS Session 265 data — still below EU average of ~75%. Large informal recycling sector means environmental compliance remains a challenge.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</si>
</sst>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,##0.000"/>
    <numFmt numFmtId="166" formatCode="\+#,##0.000;\-#,##0.000"/>
    <numFmt numFmtId="167" formatCode="\+0.0;\-0.0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7F6000"/>
      <name val="Arial"/>
    </font>
    <font>
      <b/>
      <sz val="10"/>
      <color rgb="FFFFFFFF"/>
      <name val="Arial"/>
    </font>
    <font>
      <sz val="10"/>
      <name val="Arial"/>
    </font>
    <font>
      <sz val="10"/>
      <color rgb="FFCC0000"/>
      <name val="Arial"/>
    </font>
    <font>
      <b/>
      <sz val="10"/>
      <name val="Arial"/>
    </font>
    <font>
      <b/>
      <sz val="14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3F2FD"/>
      </patternFill>
    </fill>
    <fill>
      <patternFill patternType="solid">
        <fgColor rgb="FFF9FBE7"/>
      </patternFill>
    </fill>
    <fill>
      <patternFill patternType="solid">
        <fgColor rgb="FFE0F7FA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E0E0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167" fontId="4" fillId="5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left" vertical="center" wrapText="1"/>
    </xf>
    <xf numFmtId="3" fontId="6" fillId="15" borderId="1" xfId="0" applyNumberFormat="1" applyFont="1" applyFill="1" applyBorder="1" applyAlignment="1">
      <alignment horizontal="center" vertical="center" wrapText="1"/>
    </xf>
    <xf numFmtId="164" fontId="6" fillId="15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F18" sqref="F18"/>
    </sheetView>
  </sheetViews>
  <sheetFormatPr defaultRowHeight="14.5" x14ac:dyDescent="0.35"/>
  <cols>
    <col min="1" max="1" width="14" style="43" customWidth="1"/>
    <col min="2" max="3" width="22" style="43" customWidth="1"/>
    <col min="4" max="4" width="16" style="43" customWidth="1"/>
    <col min="5" max="5" width="18" style="43" customWidth="1"/>
    <col min="6" max="6" width="36" style="43" customWidth="1"/>
    <col min="7" max="7" width="40" style="43" customWidth="1"/>
    <col min="8" max="16384" width="8.7265625" style="43"/>
  </cols>
  <sheetData>
    <row r="1" spans="1:8" ht="28" customHeight="1" x14ac:dyDescent="0.35">
      <c r="A1" s="36" t="s">
        <v>0</v>
      </c>
      <c r="B1" s="44"/>
      <c r="C1" s="44"/>
      <c r="D1" s="44"/>
      <c r="E1" s="44"/>
      <c r="F1" s="44"/>
      <c r="G1" s="44"/>
      <c r="H1" s="44"/>
    </row>
    <row r="2" spans="1:8" x14ac:dyDescent="0.35">
      <c r="A2" s="46" t="s">
        <v>1</v>
      </c>
      <c r="B2" s="44"/>
      <c r="C2" s="44"/>
      <c r="D2" s="44"/>
      <c r="E2" s="44"/>
      <c r="F2" s="44"/>
      <c r="G2" s="44"/>
      <c r="H2" s="44"/>
    </row>
    <row r="3" spans="1:8" ht="36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8" x14ac:dyDescent="0.35">
      <c r="A4" s="2" t="s">
        <v>9</v>
      </c>
      <c r="B4" s="3">
        <v>708445</v>
      </c>
      <c r="C4" s="3">
        <v>69415</v>
      </c>
      <c r="D4" s="4">
        <f>C4/B4*100</f>
        <v>9.7982200453105044</v>
      </c>
      <c r="E4" s="2" t="s">
        <v>10</v>
      </c>
      <c r="F4" s="2" t="s">
        <v>11</v>
      </c>
      <c r="G4" s="2" t="s">
        <v>12</v>
      </c>
    </row>
    <row r="5" spans="1:8" x14ac:dyDescent="0.35">
      <c r="A5" s="6" t="s">
        <v>13</v>
      </c>
      <c r="B5" s="7">
        <v>771215</v>
      </c>
      <c r="C5" s="7">
        <v>78281</v>
      </c>
      <c r="D5" s="8">
        <f>C5/B5*100</f>
        <v>10.150347179450607</v>
      </c>
      <c r="E5" s="8">
        <v>8.9</v>
      </c>
      <c r="F5" s="6" t="s">
        <v>14</v>
      </c>
      <c r="G5" s="6" t="s">
        <v>15</v>
      </c>
    </row>
    <row r="6" spans="1:8" x14ac:dyDescent="0.35">
      <c r="A6" s="2" t="s">
        <v>16</v>
      </c>
      <c r="B6" s="3">
        <v>1014961</v>
      </c>
      <c r="C6" s="2" t="s">
        <v>17</v>
      </c>
      <c r="D6" s="2" t="s">
        <v>17</v>
      </c>
      <c r="E6" s="4">
        <v>31.6</v>
      </c>
      <c r="F6" s="2" t="s">
        <v>18</v>
      </c>
      <c r="G6" s="2" t="s">
        <v>19</v>
      </c>
    </row>
    <row r="7" spans="1:8" x14ac:dyDescent="0.35">
      <c r="A7" s="6" t="s">
        <v>20</v>
      </c>
      <c r="B7" s="7">
        <v>1346496</v>
      </c>
      <c r="C7" s="6" t="s">
        <v>17</v>
      </c>
      <c r="D7" s="6" t="s">
        <v>17</v>
      </c>
      <c r="E7" s="8">
        <v>32.700000000000003</v>
      </c>
      <c r="F7" s="6" t="s">
        <v>18</v>
      </c>
      <c r="G7" s="6" t="s">
        <v>21</v>
      </c>
    </row>
    <row r="8" spans="1:8" x14ac:dyDescent="0.35">
      <c r="A8" s="2" t="s">
        <v>22</v>
      </c>
      <c r="B8" s="3">
        <v>1601155</v>
      </c>
      <c r="C8" s="3">
        <v>527132</v>
      </c>
      <c r="D8" s="4">
        <f>C8/B8*100</f>
        <v>32.921984442480586</v>
      </c>
      <c r="E8" s="4">
        <v>18.899999999999999</v>
      </c>
      <c r="F8" s="2" t="s">
        <v>23</v>
      </c>
      <c r="G8" s="2" t="s">
        <v>24</v>
      </c>
    </row>
    <row r="9" spans="1:8" x14ac:dyDescent="0.35">
      <c r="A9" s="6" t="s">
        <v>25</v>
      </c>
      <c r="B9" s="7">
        <v>1609117</v>
      </c>
      <c r="C9" s="7">
        <v>539256</v>
      </c>
      <c r="D9" s="8">
        <f>C9/B9*100</f>
        <v>33.512541350318223</v>
      </c>
      <c r="E9" s="8">
        <v>0.5</v>
      </c>
      <c r="F9" s="6" t="s">
        <v>26</v>
      </c>
      <c r="G9" s="6" t="s">
        <v>27</v>
      </c>
    </row>
    <row r="10" spans="1:8" x14ac:dyDescent="0.35">
      <c r="A10" s="2" t="s">
        <v>28</v>
      </c>
      <c r="B10" s="3">
        <v>1751236</v>
      </c>
      <c r="C10" s="3">
        <v>760663</v>
      </c>
      <c r="D10" s="4">
        <f>C10/B10*100</f>
        <v>43.435779072609286</v>
      </c>
      <c r="E10" s="4">
        <v>8.8000000000000007</v>
      </c>
      <c r="F10" s="2" t="s">
        <v>26</v>
      </c>
      <c r="G10" s="2" t="s">
        <v>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4" workbookViewId="0">
      <selection activeCell="B43" sqref="B43"/>
    </sheetView>
  </sheetViews>
  <sheetFormatPr defaultRowHeight="14.5" x14ac:dyDescent="0.35"/>
  <cols>
    <col min="1" max="1" width="8" style="43" customWidth="1"/>
    <col min="2" max="2" width="36" style="43" customWidth="1"/>
    <col min="3" max="3" width="10" style="43" customWidth="1"/>
    <col min="4" max="5" width="26" style="43" customWidth="1"/>
    <col min="6" max="6" width="18" style="43" customWidth="1"/>
    <col min="7" max="7" width="14" style="43" customWidth="1"/>
    <col min="8" max="16384" width="8.7265625" style="43"/>
  </cols>
  <sheetData>
    <row r="1" spans="1:7" ht="28" customHeight="1" x14ac:dyDescent="0.35">
      <c r="A1" s="36" t="s">
        <v>30</v>
      </c>
      <c r="B1" s="44"/>
      <c r="C1" s="44"/>
      <c r="D1" s="44"/>
      <c r="E1" s="44"/>
      <c r="F1" s="44"/>
      <c r="G1" s="44"/>
    </row>
    <row r="2" spans="1:7" ht="28" customHeight="1" x14ac:dyDescent="0.35">
      <c r="A2" s="46" t="s">
        <v>31</v>
      </c>
      <c r="B2" s="44"/>
      <c r="C2" s="44"/>
      <c r="D2" s="44"/>
      <c r="E2" s="44"/>
      <c r="F2" s="44"/>
      <c r="G2" s="44"/>
    </row>
    <row r="3" spans="1:7" ht="40" customHeight="1" x14ac:dyDescent="0.3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</row>
    <row r="4" spans="1:7" x14ac:dyDescent="0.35">
      <c r="A4" s="2">
        <v>1</v>
      </c>
      <c r="B4" s="10" t="s">
        <v>39</v>
      </c>
      <c r="C4" s="10" t="s">
        <v>40</v>
      </c>
      <c r="D4" s="11">
        <v>229.084</v>
      </c>
      <c r="E4" s="11">
        <v>2021.19</v>
      </c>
      <c r="F4" s="12">
        <f t="shared" ref="F4:F12" si="0">E4-D4</f>
        <v>1792.106</v>
      </c>
      <c r="G4" s="13">
        <f t="shared" ref="G4:G12" si="1">(E4-D4)/D4*100</f>
        <v>782.29208499938886</v>
      </c>
    </row>
    <row r="5" spans="1:7" x14ac:dyDescent="0.35">
      <c r="A5" s="6">
        <v>2</v>
      </c>
      <c r="B5" s="14" t="s">
        <v>41</v>
      </c>
      <c r="C5" s="14" t="s">
        <v>42</v>
      </c>
      <c r="D5" s="15">
        <v>2.0339999999999998</v>
      </c>
      <c r="E5" s="15">
        <v>0.78</v>
      </c>
      <c r="F5" s="16">
        <f t="shared" si="0"/>
        <v>-1.2539999999999998</v>
      </c>
      <c r="G5" s="17">
        <f t="shared" si="1"/>
        <v>-61.651917404129783</v>
      </c>
    </row>
    <row r="6" spans="1:7" x14ac:dyDescent="0.35">
      <c r="A6" s="2">
        <v>3</v>
      </c>
      <c r="B6" s="18" t="s">
        <v>43</v>
      </c>
      <c r="C6" s="18" t="s">
        <v>44</v>
      </c>
      <c r="D6" s="11">
        <v>63.2</v>
      </c>
      <c r="E6" s="11">
        <v>67</v>
      </c>
      <c r="F6" s="12">
        <f t="shared" si="0"/>
        <v>3.7999999999999972</v>
      </c>
      <c r="G6" s="13">
        <f t="shared" si="1"/>
        <v>6.0126582278480969</v>
      </c>
    </row>
    <row r="7" spans="1:7" x14ac:dyDescent="0.35">
      <c r="A7" s="6">
        <v>4</v>
      </c>
      <c r="B7" s="19" t="s">
        <v>45</v>
      </c>
      <c r="C7" s="19" t="s">
        <v>46</v>
      </c>
      <c r="D7" s="15">
        <v>86</v>
      </c>
      <c r="E7" s="15">
        <v>41.07</v>
      </c>
      <c r="F7" s="16">
        <f t="shared" si="0"/>
        <v>-44.93</v>
      </c>
      <c r="G7" s="17">
        <f t="shared" si="1"/>
        <v>-52.244186046511629</v>
      </c>
    </row>
    <row r="8" spans="1:7" x14ac:dyDescent="0.35">
      <c r="A8" s="2">
        <v>5</v>
      </c>
      <c r="B8" s="20" t="s">
        <v>47</v>
      </c>
      <c r="C8" s="20" t="s">
        <v>48</v>
      </c>
      <c r="D8" s="11">
        <v>30.873200000000001</v>
      </c>
      <c r="E8" s="11">
        <v>67.92</v>
      </c>
      <c r="F8" s="12">
        <f t="shared" si="0"/>
        <v>37.046800000000005</v>
      </c>
      <c r="G8" s="13">
        <f t="shared" si="1"/>
        <v>119.99663138255833</v>
      </c>
    </row>
    <row r="9" spans="1:7" x14ac:dyDescent="0.35">
      <c r="A9" s="6">
        <v>6</v>
      </c>
      <c r="B9" s="21" t="s">
        <v>49</v>
      </c>
      <c r="C9" s="21" t="s">
        <v>50</v>
      </c>
      <c r="D9" s="15">
        <v>258.10000000000002</v>
      </c>
      <c r="E9" s="15">
        <v>4167.8999999999996</v>
      </c>
      <c r="F9" s="16">
        <f t="shared" si="0"/>
        <v>3909.7999999999997</v>
      </c>
      <c r="G9" s="17">
        <f t="shared" si="1"/>
        <v>1514.8392096086786</v>
      </c>
    </row>
    <row r="10" spans="1:7" ht="25" x14ac:dyDescent="0.35">
      <c r="A10" s="2">
        <v>7</v>
      </c>
      <c r="B10" s="22" t="s">
        <v>51</v>
      </c>
      <c r="C10" s="22" t="s">
        <v>52</v>
      </c>
      <c r="D10" s="11">
        <v>586.10400000000004</v>
      </c>
      <c r="E10" s="11">
        <v>12.34</v>
      </c>
      <c r="F10" s="12">
        <f t="shared" si="0"/>
        <v>-573.76400000000001</v>
      </c>
      <c r="G10" s="13">
        <f t="shared" si="1"/>
        <v>-97.894571611864095</v>
      </c>
    </row>
    <row r="11" spans="1:7" x14ac:dyDescent="0.35">
      <c r="A11" s="6">
        <v>8</v>
      </c>
      <c r="B11" s="20" t="s">
        <v>53</v>
      </c>
      <c r="C11" s="20" t="s">
        <v>48</v>
      </c>
      <c r="D11" s="15">
        <v>610.13199999999995</v>
      </c>
      <c r="E11" s="15">
        <v>2130.79</v>
      </c>
      <c r="F11" s="16">
        <f t="shared" si="0"/>
        <v>1520.6579999999999</v>
      </c>
      <c r="G11" s="17">
        <f t="shared" si="1"/>
        <v>249.23426406089172</v>
      </c>
    </row>
    <row r="12" spans="1:7" x14ac:dyDescent="0.35">
      <c r="A12" s="2">
        <v>9</v>
      </c>
      <c r="B12" s="22" t="s">
        <v>54</v>
      </c>
      <c r="C12" s="22" t="s">
        <v>52</v>
      </c>
      <c r="D12" s="11">
        <v>109463.80319999999</v>
      </c>
      <c r="E12" s="11">
        <v>30569.32</v>
      </c>
      <c r="F12" s="12">
        <f t="shared" si="0"/>
        <v>-78894.483199999988</v>
      </c>
      <c r="G12" s="13">
        <f t="shared" si="1"/>
        <v>-72.073581306007455</v>
      </c>
    </row>
    <row r="13" spans="1:7" x14ac:dyDescent="0.35">
      <c r="A13" s="6">
        <v>10</v>
      </c>
      <c r="B13" s="20" t="s">
        <v>55</v>
      </c>
      <c r="C13" s="20" t="s">
        <v>48</v>
      </c>
      <c r="D13" s="23" t="s">
        <v>56</v>
      </c>
      <c r="E13" s="15">
        <v>245015.82</v>
      </c>
      <c r="F13" s="6" t="s">
        <v>17</v>
      </c>
      <c r="G13" s="6" t="s">
        <v>17</v>
      </c>
    </row>
    <row r="14" spans="1:7" x14ac:dyDescent="0.35">
      <c r="A14" s="2">
        <v>11</v>
      </c>
      <c r="B14" s="20" t="s">
        <v>57</v>
      </c>
      <c r="C14" s="20" t="s">
        <v>48</v>
      </c>
      <c r="D14" s="11">
        <v>72.944000000000003</v>
      </c>
      <c r="E14" s="11">
        <v>373.2</v>
      </c>
      <c r="F14" s="12">
        <f t="shared" ref="F14:F20" si="2">E14-D14</f>
        <v>300.25599999999997</v>
      </c>
      <c r="G14" s="13">
        <f t="shared" ref="G14:G20" si="3">(E14-D14)/D14*100</f>
        <v>411.62535643781524</v>
      </c>
    </row>
    <row r="15" spans="1:7" x14ac:dyDescent="0.35">
      <c r="A15" s="6">
        <v>12</v>
      </c>
      <c r="B15" s="20" t="s">
        <v>58</v>
      </c>
      <c r="C15" s="20" t="s">
        <v>48</v>
      </c>
      <c r="D15" s="15">
        <v>150.559</v>
      </c>
      <c r="E15" s="15">
        <v>561.61</v>
      </c>
      <c r="F15" s="16">
        <f t="shared" si="2"/>
        <v>411.05100000000004</v>
      </c>
      <c r="G15" s="17">
        <f t="shared" si="3"/>
        <v>273.01655829276234</v>
      </c>
    </row>
    <row r="16" spans="1:7" x14ac:dyDescent="0.35">
      <c r="A16" s="2">
        <v>13</v>
      </c>
      <c r="B16" s="19" t="s">
        <v>59</v>
      </c>
      <c r="C16" s="19" t="s">
        <v>46</v>
      </c>
      <c r="D16" s="11">
        <v>95.316000000000003</v>
      </c>
      <c r="E16" s="11">
        <v>366.71</v>
      </c>
      <c r="F16" s="12">
        <f t="shared" si="2"/>
        <v>271.39400000000001</v>
      </c>
      <c r="G16" s="13">
        <f t="shared" si="3"/>
        <v>284.7307902136053</v>
      </c>
    </row>
    <row r="17" spans="1:7" x14ac:dyDescent="0.35">
      <c r="A17" s="6">
        <v>14</v>
      </c>
      <c r="B17" s="10" t="s">
        <v>60</v>
      </c>
      <c r="C17" s="10" t="s">
        <v>40</v>
      </c>
      <c r="D17" s="15">
        <v>96192.45</v>
      </c>
      <c r="E17" s="15">
        <v>39150.629999999997</v>
      </c>
      <c r="F17" s="16">
        <f t="shared" si="2"/>
        <v>-57041.82</v>
      </c>
      <c r="G17" s="17">
        <f t="shared" si="3"/>
        <v>-59.299685162401005</v>
      </c>
    </row>
    <row r="18" spans="1:7" x14ac:dyDescent="0.35">
      <c r="A18" s="2">
        <v>15</v>
      </c>
      <c r="B18" s="10" t="s">
        <v>61</v>
      </c>
      <c r="C18" s="10" t="s">
        <v>40</v>
      </c>
      <c r="D18" s="11">
        <v>1494</v>
      </c>
      <c r="E18" s="11">
        <v>1249.6099999999999</v>
      </c>
      <c r="F18" s="12">
        <f t="shared" si="2"/>
        <v>-244.3900000000001</v>
      </c>
      <c r="G18" s="13">
        <f t="shared" si="3"/>
        <v>-16.358099062918345</v>
      </c>
    </row>
    <row r="19" spans="1:7" x14ac:dyDescent="0.35">
      <c r="A19" s="6">
        <v>16</v>
      </c>
      <c r="B19" s="21" t="s">
        <v>62</v>
      </c>
      <c r="C19" s="21" t="s">
        <v>50</v>
      </c>
      <c r="D19" s="15">
        <v>419.44</v>
      </c>
      <c r="E19" s="15">
        <v>553.59</v>
      </c>
      <c r="F19" s="16">
        <f t="shared" si="2"/>
        <v>134.15000000000003</v>
      </c>
      <c r="G19" s="17">
        <f t="shared" si="3"/>
        <v>31.983120350944123</v>
      </c>
    </row>
    <row r="20" spans="1:7" x14ac:dyDescent="0.35">
      <c r="A20" s="2">
        <v>17</v>
      </c>
      <c r="B20" s="22" t="s">
        <v>63</v>
      </c>
      <c r="C20" s="22" t="s">
        <v>52</v>
      </c>
      <c r="D20" s="11">
        <v>14546</v>
      </c>
      <c r="E20" s="11">
        <v>18559.3</v>
      </c>
      <c r="F20" s="12">
        <f t="shared" si="2"/>
        <v>4013.2999999999993</v>
      </c>
      <c r="G20" s="13">
        <f t="shared" si="3"/>
        <v>27.590402859892748</v>
      </c>
    </row>
    <row r="21" spans="1:7" x14ac:dyDescent="0.35">
      <c r="A21" s="6">
        <v>18</v>
      </c>
      <c r="B21" s="18" t="s">
        <v>64</v>
      </c>
      <c r="C21" s="18" t="s">
        <v>44</v>
      </c>
      <c r="D21" s="15">
        <v>6.1749999999999998</v>
      </c>
      <c r="E21" s="23" t="s">
        <v>56</v>
      </c>
      <c r="F21" s="6" t="s">
        <v>17</v>
      </c>
      <c r="G21" s="6" t="s">
        <v>17</v>
      </c>
    </row>
    <row r="22" spans="1:7" x14ac:dyDescent="0.35">
      <c r="A22" s="2">
        <v>19</v>
      </c>
      <c r="B22" s="18" t="s">
        <v>65</v>
      </c>
      <c r="C22" s="18" t="s">
        <v>44</v>
      </c>
      <c r="D22" s="11">
        <v>19.308</v>
      </c>
      <c r="E22" s="11">
        <v>14.85</v>
      </c>
      <c r="F22" s="12">
        <f>E22-D22</f>
        <v>-4.4580000000000002</v>
      </c>
      <c r="G22" s="13">
        <f>(E22-D22)/D22*100</f>
        <v>-23.088875077688005</v>
      </c>
    </row>
    <row r="23" spans="1:7" x14ac:dyDescent="0.35">
      <c r="A23" s="6">
        <v>20</v>
      </c>
      <c r="B23" s="18" t="s">
        <v>66</v>
      </c>
      <c r="C23" s="18" t="s">
        <v>44</v>
      </c>
      <c r="D23" s="15">
        <v>423</v>
      </c>
      <c r="E23" s="23" t="s">
        <v>56</v>
      </c>
      <c r="F23" s="6" t="s">
        <v>17</v>
      </c>
      <c r="G23" s="6" t="s">
        <v>17</v>
      </c>
    </row>
    <row r="24" spans="1:7" x14ac:dyDescent="0.35">
      <c r="A24" s="2">
        <v>21</v>
      </c>
      <c r="B24" s="19" t="s">
        <v>67</v>
      </c>
      <c r="C24" s="19" t="s">
        <v>46</v>
      </c>
      <c r="D24" s="11">
        <v>398.483</v>
      </c>
      <c r="E24" s="11">
        <v>477.54</v>
      </c>
      <c r="F24" s="12">
        <f>E24-D24</f>
        <v>79.057000000000016</v>
      </c>
      <c r="G24" s="13">
        <f>(E24-D24)/D24*100</f>
        <v>19.839491270643922</v>
      </c>
    </row>
    <row r="25" spans="1:7" x14ac:dyDescent="0.35">
      <c r="A25" s="6">
        <v>22</v>
      </c>
      <c r="B25" s="10" t="s">
        <v>68</v>
      </c>
      <c r="C25" s="10" t="s">
        <v>40</v>
      </c>
      <c r="D25" s="23" t="s">
        <v>56</v>
      </c>
      <c r="E25" s="15">
        <v>31.77</v>
      </c>
      <c r="F25" s="6" t="s">
        <v>17</v>
      </c>
      <c r="G25" s="6" t="s">
        <v>17</v>
      </c>
    </row>
    <row r="26" spans="1:7" x14ac:dyDescent="0.35">
      <c r="A26" s="2">
        <v>23</v>
      </c>
      <c r="B26" s="20" t="s">
        <v>69</v>
      </c>
      <c r="C26" s="20" t="s">
        <v>48</v>
      </c>
      <c r="D26" s="11">
        <v>384.30700000000002</v>
      </c>
      <c r="E26" s="11">
        <v>28375.27</v>
      </c>
      <c r="F26" s="12">
        <f t="shared" ref="F26:F33" si="4">E26-D26</f>
        <v>27990.963</v>
      </c>
      <c r="G26" s="13">
        <f t="shared" ref="G26:G33" si="5">(E26-D26)/D26*100</f>
        <v>7283.4902825085155</v>
      </c>
    </row>
    <row r="27" spans="1:7" x14ac:dyDescent="0.35">
      <c r="A27" s="6">
        <v>24</v>
      </c>
      <c r="B27" s="20" t="s">
        <v>70</v>
      </c>
      <c r="C27" s="20" t="s">
        <v>48</v>
      </c>
      <c r="D27" s="15">
        <v>18742.117999999999</v>
      </c>
      <c r="E27" s="15">
        <v>27998.77</v>
      </c>
      <c r="F27" s="16">
        <f t="shared" si="4"/>
        <v>9256.6520000000019</v>
      </c>
      <c r="G27" s="17">
        <f t="shared" si="5"/>
        <v>49.389572725985417</v>
      </c>
    </row>
    <row r="28" spans="1:7" x14ac:dyDescent="0.35">
      <c r="A28" s="2">
        <v>25</v>
      </c>
      <c r="B28" s="18" t="s">
        <v>71</v>
      </c>
      <c r="C28" s="18" t="s">
        <v>44</v>
      </c>
      <c r="D28" s="11">
        <v>35.603499999999997</v>
      </c>
      <c r="E28" s="11">
        <v>8.4700000000000006</v>
      </c>
      <c r="F28" s="12">
        <f t="shared" si="4"/>
        <v>-27.133499999999998</v>
      </c>
      <c r="G28" s="13">
        <f t="shared" si="5"/>
        <v>-76.210204052972315</v>
      </c>
    </row>
    <row r="29" spans="1:7" x14ac:dyDescent="0.35">
      <c r="A29" s="6">
        <v>26</v>
      </c>
      <c r="B29" s="10" t="s">
        <v>72</v>
      </c>
      <c r="C29" s="10" t="s">
        <v>40</v>
      </c>
      <c r="D29" s="15">
        <v>28305.89</v>
      </c>
      <c r="E29" s="15">
        <v>31143.21</v>
      </c>
      <c r="F29" s="16">
        <f t="shared" si="4"/>
        <v>2837.3199999999997</v>
      </c>
      <c r="G29" s="17">
        <f t="shared" si="5"/>
        <v>10.023779503135213</v>
      </c>
    </row>
    <row r="30" spans="1:7" x14ac:dyDescent="0.35">
      <c r="A30" s="2">
        <v>27</v>
      </c>
      <c r="B30" s="10" t="s">
        <v>73</v>
      </c>
      <c r="C30" s="10" t="s">
        <v>40</v>
      </c>
      <c r="D30" s="11">
        <v>38346</v>
      </c>
      <c r="E30" s="11">
        <v>42297.68</v>
      </c>
      <c r="F30" s="12">
        <f t="shared" si="4"/>
        <v>3951.6800000000003</v>
      </c>
      <c r="G30" s="13">
        <f t="shared" si="5"/>
        <v>10.305325196891463</v>
      </c>
    </row>
    <row r="31" spans="1:7" x14ac:dyDescent="0.35">
      <c r="A31" s="6">
        <v>28</v>
      </c>
      <c r="B31" s="18" t="s">
        <v>74</v>
      </c>
      <c r="C31" s="18" t="s">
        <v>44</v>
      </c>
      <c r="D31" s="15">
        <v>12.7812</v>
      </c>
      <c r="E31" s="15">
        <v>13.67</v>
      </c>
      <c r="F31" s="16">
        <f t="shared" si="4"/>
        <v>0.88879999999999981</v>
      </c>
      <c r="G31" s="17">
        <f t="shared" si="5"/>
        <v>6.9539636340875646</v>
      </c>
    </row>
    <row r="32" spans="1:7" x14ac:dyDescent="0.35">
      <c r="A32" s="2">
        <v>29</v>
      </c>
      <c r="B32" s="20" t="s">
        <v>75</v>
      </c>
      <c r="C32" s="20" t="s">
        <v>48</v>
      </c>
      <c r="D32" s="11">
        <v>43150.080000000002</v>
      </c>
      <c r="E32" s="11">
        <v>51541.120000000003</v>
      </c>
      <c r="F32" s="12">
        <f t="shared" si="4"/>
        <v>8391.0400000000009</v>
      </c>
      <c r="G32" s="13">
        <f t="shared" si="5"/>
        <v>19.446174839073301</v>
      </c>
    </row>
    <row r="33" spans="1:7" x14ac:dyDescent="0.35">
      <c r="A33" s="6">
        <v>30</v>
      </c>
      <c r="B33" s="19" t="s">
        <v>76</v>
      </c>
      <c r="C33" s="19" t="s">
        <v>46</v>
      </c>
      <c r="D33" s="15">
        <v>416.89100000000002</v>
      </c>
      <c r="E33" s="15">
        <v>320.44</v>
      </c>
      <c r="F33" s="16">
        <f t="shared" si="4"/>
        <v>-96.451000000000022</v>
      </c>
      <c r="G33" s="17">
        <f t="shared" si="5"/>
        <v>-23.135783694059121</v>
      </c>
    </row>
    <row r="34" spans="1:7" x14ac:dyDescent="0.35">
      <c r="A34" s="47"/>
      <c r="B34" s="37" t="s">
        <v>77</v>
      </c>
      <c r="C34" s="44"/>
      <c r="D34" s="25">
        <f>SUM(D4:D33)</f>
        <v>354540.67610000004</v>
      </c>
      <c r="E34" s="25">
        <f>SUM(E4:E33)</f>
        <v>527131.56999999995</v>
      </c>
    </row>
    <row r="35" spans="1:7" x14ac:dyDescent="0.35">
      <c r="B35" s="48" t="s">
        <v>78</v>
      </c>
      <c r="C35" s="44"/>
      <c r="D35" s="26">
        <v>354540.7</v>
      </c>
      <c r="E35" s="26">
        <v>527131.56999999995</v>
      </c>
      <c r="F35" s="49" t="s">
        <v>79</v>
      </c>
    </row>
    <row r="37" spans="1:7" x14ac:dyDescent="0.35">
      <c r="A37" s="46" t="s">
        <v>80</v>
      </c>
      <c r="B37" s="44"/>
      <c r="C37" s="44"/>
      <c r="D37" s="44"/>
      <c r="E37" s="44"/>
      <c r="F37" s="44"/>
      <c r="G37" s="44"/>
    </row>
  </sheetData>
  <mergeCells count="5">
    <mergeCell ref="A1:G1"/>
    <mergeCell ref="B34:C34"/>
    <mergeCell ref="A2:G2"/>
    <mergeCell ref="B35:C35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A2" sqref="A2"/>
    </sheetView>
  </sheetViews>
  <sheetFormatPr defaultRowHeight="14.5" x14ac:dyDescent="0.35"/>
  <cols>
    <col min="1" max="1" width="28" style="43" customWidth="1"/>
    <col min="2" max="2" width="65" style="43" customWidth="1"/>
    <col min="3" max="4" width="20" style="43" customWidth="1"/>
    <col min="5" max="16384" width="8.7265625" style="43"/>
  </cols>
  <sheetData>
    <row r="1" spans="1:4" ht="28" customHeight="1" x14ac:dyDescent="0.35">
      <c r="A1" s="38" t="s">
        <v>81</v>
      </c>
      <c r="B1" s="44"/>
      <c r="C1" s="44"/>
      <c r="D1" s="44"/>
    </row>
    <row r="3" spans="1:4" ht="31" customHeight="1" x14ac:dyDescent="0.35">
      <c r="A3" s="42" t="s">
        <v>82</v>
      </c>
      <c r="B3" s="45" t="s">
        <v>83</v>
      </c>
      <c r="C3" s="44"/>
      <c r="D3" s="44"/>
    </row>
    <row r="4" spans="1:4" x14ac:dyDescent="0.35">
      <c r="A4" s="2"/>
      <c r="B4" s="39"/>
      <c r="C4" s="44"/>
      <c r="D4" s="44"/>
    </row>
    <row r="5" spans="1:4" x14ac:dyDescent="0.35">
      <c r="A5" s="42" t="s">
        <v>84</v>
      </c>
      <c r="B5" s="45"/>
      <c r="C5" s="44"/>
      <c r="D5" s="44"/>
    </row>
    <row r="6" spans="1:4" ht="33.5" customHeight="1" x14ac:dyDescent="0.35">
      <c r="A6" s="2" t="s">
        <v>85</v>
      </c>
      <c r="B6" s="39" t="s">
        <v>86</v>
      </c>
      <c r="C6" s="44"/>
      <c r="D6" s="44"/>
    </row>
    <row r="7" spans="1:4" ht="28.5" customHeight="1" x14ac:dyDescent="0.35">
      <c r="A7" s="2" t="s">
        <v>87</v>
      </c>
      <c r="B7" s="39" t="s">
        <v>88</v>
      </c>
      <c r="C7" s="44"/>
      <c r="D7" s="44"/>
    </row>
    <row r="8" spans="1:4" x14ac:dyDescent="0.35">
      <c r="A8" s="2" t="s">
        <v>89</v>
      </c>
      <c r="B8" s="39" t="s">
        <v>90</v>
      </c>
      <c r="C8" s="44"/>
      <c r="D8" s="44"/>
    </row>
    <row r="9" spans="1:4" x14ac:dyDescent="0.35">
      <c r="A9" s="2"/>
      <c r="B9" s="39"/>
      <c r="C9" s="44"/>
      <c r="D9" s="44"/>
    </row>
    <row r="10" spans="1:4" x14ac:dyDescent="0.35">
      <c r="A10" s="42" t="s">
        <v>91</v>
      </c>
      <c r="B10" s="45"/>
      <c r="C10" s="44"/>
      <c r="D10" s="44"/>
    </row>
    <row r="11" spans="1:4" x14ac:dyDescent="0.35">
      <c r="A11" s="2" t="s">
        <v>92</v>
      </c>
      <c r="B11" s="39" t="s">
        <v>93</v>
      </c>
      <c r="C11" s="44"/>
      <c r="D11" s="44"/>
    </row>
    <row r="12" spans="1:4" x14ac:dyDescent="0.35">
      <c r="A12" s="2" t="s">
        <v>94</v>
      </c>
      <c r="B12" s="39" t="s">
        <v>95</v>
      </c>
      <c r="C12" s="44"/>
      <c r="D12" s="44"/>
    </row>
    <row r="13" spans="1:4" x14ac:dyDescent="0.35">
      <c r="A13" s="2" t="s">
        <v>96</v>
      </c>
      <c r="B13" s="39" t="s">
        <v>97</v>
      </c>
      <c r="C13" s="44"/>
      <c r="D13" s="44"/>
    </row>
    <row r="14" spans="1:4" x14ac:dyDescent="0.35">
      <c r="A14" s="2" t="s">
        <v>98</v>
      </c>
      <c r="B14" s="39" t="s">
        <v>99</v>
      </c>
      <c r="C14" s="44"/>
      <c r="D14" s="44"/>
    </row>
    <row r="15" spans="1:4" x14ac:dyDescent="0.35">
      <c r="A15" s="2"/>
      <c r="B15" s="39"/>
      <c r="C15" s="44"/>
      <c r="D15" s="44"/>
    </row>
    <row r="16" spans="1:4" x14ac:dyDescent="0.35">
      <c r="A16" s="42" t="s">
        <v>100</v>
      </c>
      <c r="B16" s="45"/>
      <c r="C16" s="44"/>
      <c r="D16" s="44"/>
    </row>
    <row r="17" spans="1:4" x14ac:dyDescent="0.35">
      <c r="A17" s="2" t="s">
        <v>101</v>
      </c>
      <c r="B17" s="39" t="s">
        <v>102</v>
      </c>
      <c r="C17" s="44"/>
      <c r="D17" s="44"/>
    </row>
    <row r="18" spans="1:4" x14ac:dyDescent="0.35">
      <c r="A18" s="2" t="s">
        <v>103</v>
      </c>
      <c r="B18" s="39" t="s">
        <v>104</v>
      </c>
      <c r="C18" s="44"/>
      <c r="D18" s="44"/>
    </row>
    <row r="19" spans="1:4" x14ac:dyDescent="0.35">
      <c r="A19" s="2" t="s">
        <v>105</v>
      </c>
      <c r="B19" s="39" t="s">
        <v>106</v>
      </c>
      <c r="C19" s="44"/>
      <c r="D19" s="44"/>
    </row>
    <row r="20" spans="1:4" x14ac:dyDescent="0.35">
      <c r="A20" s="2" t="s">
        <v>107</v>
      </c>
      <c r="B20" s="39" t="s">
        <v>108</v>
      </c>
      <c r="C20" s="44"/>
      <c r="D20" s="44"/>
    </row>
    <row r="21" spans="1:4" x14ac:dyDescent="0.35">
      <c r="A21" s="2" t="s">
        <v>109</v>
      </c>
      <c r="B21" s="39" t="s">
        <v>110</v>
      </c>
      <c r="C21" s="44"/>
      <c r="D21" s="44"/>
    </row>
    <row r="22" spans="1:4" x14ac:dyDescent="0.35">
      <c r="A22" s="2"/>
      <c r="B22" s="39"/>
      <c r="C22" s="44"/>
      <c r="D22" s="44"/>
    </row>
    <row r="23" spans="1:4" x14ac:dyDescent="0.35">
      <c r="A23" s="42" t="s">
        <v>111</v>
      </c>
      <c r="B23" s="45"/>
      <c r="C23" s="44"/>
      <c r="D23" s="44"/>
    </row>
    <row r="24" spans="1:4" x14ac:dyDescent="0.35">
      <c r="A24" s="2" t="s">
        <v>112</v>
      </c>
      <c r="B24" s="39" t="s">
        <v>113</v>
      </c>
      <c r="C24" s="44"/>
      <c r="D24" s="44"/>
    </row>
    <row r="25" spans="1:4" ht="44" customHeight="1" x14ac:dyDescent="0.35">
      <c r="A25" s="2" t="s">
        <v>114</v>
      </c>
      <c r="B25" s="40" t="s">
        <v>115</v>
      </c>
      <c r="C25" s="41"/>
      <c r="D25" s="41"/>
    </row>
    <row r="26" spans="1:4" x14ac:dyDescent="0.35">
      <c r="A26" s="2" t="s">
        <v>116</v>
      </c>
      <c r="B26" s="39" t="s">
        <v>117</v>
      </c>
      <c r="C26" s="44"/>
      <c r="D26" s="44"/>
    </row>
    <row r="27" spans="1:4" x14ac:dyDescent="0.35">
      <c r="A27" s="2" t="s">
        <v>118</v>
      </c>
      <c r="B27" s="39" t="s">
        <v>119</v>
      </c>
      <c r="C27" s="44"/>
      <c r="D27" s="44"/>
    </row>
    <row r="28" spans="1:4" x14ac:dyDescent="0.35">
      <c r="A28" s="2"/>
      <c r="B28" s="39"/>
      <c r="C28" s="44"/>
      <c r="D28" s="44"/>
    </row>
    <row r="29" spans="1:4" ht="26" x14ac:dyDescent="0.35">
      <c r="A29" s="42" t="s">
        <v>120</v>
      </c>
      <c r="B29" s="45"/>
      <c r="C29" s="44"/>
      <c r="D29" s="44"/>
    </row>
    <row r="30" spans="1:4" ht="14.5" customHeight="1" x14ac:dyDescent="0.35">
      <c r="A30" s="2" t="s">
        <v>121</v>
      </c>
      <c r="B30" s="40" t="s">
        <v>122</v>
      </c>
      <c r="C30" s="41"/>
      <c r="D30" s="41"/>
    </row>
    <row r="31" spans="1:4" x14ac:dyDescent="0.35">
      <c r="A31" s="2" t="s">
        <v>123</v>
      </c>
      <c r="B31" s="39" t="s">
        <v>124</v>
      </c>
      <c r="C31" s="44"/>
      <c r="D31" s="44"/>
    </row>
    <row r="32" spans="1:4" x14ac:dyDescent="0.35">
      <c r="A32" s="2" t="s">
        <v>125</v>
      </c>
      <c r="B32" s="39" t="s">
        <v>126</v>
      </c>
      <c r="C32" s="44"/>
      <c r="D32" s="44"/>
    </row>
    <row r="33" spans="1:4" x14ac:dyDescent="0.35">
      <c r="A33" s="2" t="s">
        <v>127</v>
      </c>
      <c r="B33" s="39" t="s">
        <v>128</v>
      </c>
      <c r="C33" s="44"/>
      <c r="D33" s="44"/>
    </row>
    <row r="34" spans="1:4" x14ac:dyDescent="0.35">
      <c r="A34" s="2" t="s">
        <v>129</v>
      </c>
      <c r="B34" s="39" t="s">
        <v>130</v>
      </c>
      <c r="C34" s="44"/>
      <c r="D34" s="44"/>
    </row>
  </sheetData>
  <mergeCells count="33">
    <mergeCell ref="B6:D6"/>
    <mergeCell ref="B24:D24"/>
    <mergeCell ref="B20:D20"/>
    <mergeCell ref="B33:D33"/>
    <mergeCell ref="A1:D1"/>
    <mergeCell ref="B5:D5"/>
    <mergeCell ref="B32:D32"/>
    <mergeCell ref="B4:D4"/>
    <mergeCell ref="B26:D26"/>
    <mergeCell ref="B7:D7"/>
    <mergeCell ref="B25:D25"/>
    <mergeCell ref="B16:D16"/>
    <mergeCell ref="B3:D3"/>
    <mergeCell ref="B31:D31"/>
    <mergeCell ref="B22:D22"/>
    <mergeCell ref="B18:D18"/>
    <mergeCell ref="B29:D29"/>
    <mergeCell ref="B34:D34"/>
    <mergeCell ref="B10:D10"/>
    <mergeCell ref="B28:D28"/>
    <mergeCell ref="B19:D19"/>
    <mergeCell ref="B30:D30"/>
    <mergeCell ref="B15:D15"/>
    <mergeCell ref="B27:D27"/>
    <mergeCell ref="B21:D21"/>
    <mergeCell ref="B12:D12"/>
    <mergeCell ref="B11:D11"/>
    <mergeCell ref="B14:D14"/>
    <mergeCell ref="B23:D23"/>
    <mergeCell ref="B8:D8"/>
    <mergeCell ref="B17:D17"/>
    <mergeCell ref="B13:D13"/>
    <mergeCell ref="B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"/>
    </sheetView>
  </sheetViews>
  <sheetFormatPr defaultRowHeight="14.5" x14ac:dyDescent="0.35"/>
  <cols>
    <col min="1" max="1" width="20" customWidth="1"/>
    <col min="2" max="2" width="16" customWidth="1"/>
    <col min="3" max="4" width="22" customWidth="1"/>
    <col min="5" max="5" width="18" customWidth="1"/>
    <col min="6" max="7" width="16" customWidth="1"/>
  </cols>
  <sheetData>
    <row r="1" spans="1:7" ht="28" customHeight="1" x14ac:dyDescent="0.35">
      <c r="A1" s="36" t="s">
        <v>131</v>
      </c>
      <c r="B1" s="35"/>
      <c r="C1" s="35"/>
      <c r="D1" s="35"/>
      <c r="E1" s="35"/>
      <c r="F1" s="35"/>
      <c r="G1" s="35"/>
    </row>
    <row r="2" spans="1:7" x14ac:dyDescent="0.35">
      <c r="A2" s="34" t="s">
        <v>132</v>
      </c>
      <c r="B2" s="35"/>
      <c r="C2" s="35"/>
      <c r="D2" s="35"/>
      <c r="E2" s="35"/>
      <c r="F2" s="35"/>
      <c r="G2" s="35"/>
    </row>
    <row r="3" spans="1:7" ht="40" customHeight="1" x14ac:dyDescent="0.35">
      <c r="A3" s="1" t="s">
        <v>133</v>
      </c>
      <c r="B3" s="1" t="s">
        <v>134</v>
      </c>
      <c r="C3" s="1" t="s">
        <v>135</v>
      </c>
      <c r="D3" s="1" t="s">
        <v>136</v>
      </c>
      <c r="E3" s="1" t="s">
        <v>137</v>
      </c>
      <c r="F3" s="1" t="s">
        <v>138</v>
      </c>
      <c r="G3" s="1" t="s">
        <v>139</v>
      </c>
    </row>
    <row r="4" spans="1:7" x14ac:dyDescent="0.35">
      <c r="A4" s="5" t="s">
        <v>140</v>
      </c>
      <c r="B4" s="5" t="s">
        <v>141</v>
      </c>
      <c r="C4" s="3">
        <v>12000</v>
      </c>
      <c r="D4" s="4">
        <v>8.5</v>
      </c>
      <c r="E4" s="3">
        <v>2800</v>
      </c>
      <c r="F4" s="4">
        <v>23.3</v>
      </c>
      <c r="G4" s="2" t="s">
        <v>142</v>
      </c>
    </row>
    <row r="5" spans="1:7" x14ac:dyDescent="0.35">
      <c r="A5" s="9" t="s">
        <v>143</v>
      </c>
      <c r="B5" s="9" t="s">
        <v>144</v>
      </c>
      <c r="C5" s="7">
        <v>6920</v>
      </c>
      <c r="D5" s="8">
        <v>20.8</v>
      </c>
      <c r="E5" s="7">
        <v>1100</v>
      </c>
      <c r="F5" s="8">
        <v>15.9</v>
      </c>
      <c r="G5" s="6" t="s">
        <v>145</v>
      </c>
    </row>
    <row r="6" spans="1:7" x14ac:dyDescent="0.35">
      <c r="A6" s="27" t="s">
        <v>146</v>
      </c>
      <c r="B6" s="27" t="s">
        <v>141</v>
      </c>
      <c r="C6" s="28">
        <v>1601</v>
      </c>
      <c r="D6" s="29">
        <v>1.1000000000000001</v>
      </c>
      <c r="E6" s="28">
        <v>527</v>
      </c>
      <c r="F6" s="29">
        <v>32.9</v>
      </c>
      <c r="G6" s="30" t="s">
        <v>142</v>
      </c>
    </row>
    <row r="7" spans="1:7" x14ac:dyDescent="0.35">
      <c r="A7" s="9" t="s">
        <v>147</v>
      </c>
      <c r="B7" s="9" t="s">
        <v>141</v>
      </c>
      <c r="C7" s="7">
        <v>750</v>
      </c>
      <c r="D7" s="8">
        <v>6</v>
      </c>
      <c r="E7" s="7">
        <v>380</v>
      </c>
      <c r="F7" s="8">
        <v>50.7</v>
      </c>
      <c r="G7" s="6" t="s">
        <v>142</v>
      </c>
    </row>
    <row r="8" spans="1:7" x14ac:dyDescent="0.35">
      <c r="A8" s="5" t="s">
        <v>148</v>
      </c>
      <c r="B8" s="5" t="s">
        <v>149</v>
      </c>
      <c r="C8" s="3">
        <v>780</v>
      </c>
      <c r="D8" s="4">
        <v>9.3000000000000007</v>
      </c>
      <c r="E8" s="3">
        <v>580</v>
      </c>
      <c r="F8" s="4">
        <v>74.400000000000006</v>
      </c>
      <c r="G8" s="2" t="s">
        <v>142</v>
      </c>
    </row>
    <row r="9" spans="1:7" x14ac:dyDescent="0.35">
      <c r="A9" s="9" t="s">
        <v>150</v>
      </c>
      <c r="B9" s="9" t="s">
        <v>149</v>
      </c>
      <c r="C9" s="7">
        <v>620</v>
      </c>
      <c r="D9" s="8">
        <v>9.1</v>
      </c>
      <c r="E9" s="7">
        <v>480</v>
      </c>
      <c r="F9" s="8">
        <v>77.400000000000006</v>
      </c>
      <c r="G9" s="6" t="s">
        <v>142</v>
      </c>
    </row>
    <row r="10" spans="1:7" x14ac:dyDescent="0.35">
      <c r="A10" s="5" t="s">
        <v>151</v>
      </c>
      <c r="B10" s="5" t="s">
        <v>149</v>
      </c>
      <c r="C10" s="3">
        <v>540</v>
      </c>
      <c r="D10" s="4">
        <v>8.1999999999999993</v>
      </c>
      <c r="E10" s="3">
        <v>415</v>
      </c>
      <c r="F10" s="4">
        <v>76.900000000000006</v>
      </c>
      <c r="G10" s="2" t="s">
        <v>142</v>
      </c>
    </row>
    <row r="11" spans="1:7" x14ac:dyDescent="0.35">
      <c r="A11" s="9" t="s">
        <v>152</v>
      </c>
      <c r="B11" s="9" t="s">
        <v>144</v>
      </c>
      <c r="C11" s="7">
        <v>920</v>
      </c>
      <c r="D11" s="8">
        <v>4.3</v>
      </c>
      <c r="E11" s="7">
        <v>192</v>
      </c>
      <c r="F11" s="8">
        <v>20.9</v>
      </c>
      <c r="G11" s="6" t="s">
        <v>142</v>
      </c>
    </row>
    <row r="12" spans="1:7" x14ac:dyDescent="0.35">
      <c r="A12" s="5" t="s">
        <v>153</v>
      </c>
      <c r="B12" s="5" t="s">
        <v>154</v>
      </c>
      <c r="C12" s="3">
        <v>620</v>
      </c>
      <c r="D12" s="4">
        <v>4.3</v>
      </c>
      <c r="E12" s="3">
        <v>56</v>
      </c>
      <c r="F12" s="4">
        <v>9</v>
      </c>
      <c r="G12" s="2" t="s">
        <v>145</v>
      </c>
    </row>
    <row r="13" spans="1:7" x14ac:dyDescent="0.35">
      <c r="A13" s="9" t="s">
        <v>155</v>
      </c>
      <c r="B13" s="9" t="s">
        <v>141</v>
      </c>
      <c r="C13" s="7">
        <v>380</v>
      </c>
      <c r="D13" s="8">
        <v>7.4</v>
      </c>
      <c r="E13" s="7">
        <v>290</v>
      </c>
      <c r="F13" s="8">
        <v>76.3</v>
      </c>
      <c r="G13" s="6" t="s">
        <v>142</v>
      </c>
    </row>
    <row r="14" spans="1:7" x14ac:dyDescent="0.35">
      <c r="A14" s="5" t="s">
        <v>156</v>
      </c>
      <c r="B14" s="5" t="s">
        <v>157</v>
      </c>
      <c r="C14" s="3">
        <v>250</v>
      </c>
      <c r="D14" s="4">
        <v>1.2</v>
      </c>
      <c r="E14" s="3">
        <v>12</v>
      </c>
      <c r="F14" s="4">
        <v>4.8</v>
      </c>
      <c r="G14" s="2" t="s">
        <v>158</v>
      </c>
    </row>
    <row r="15" spans="1:7" x14ac:dyDescent="0.35">
      <c r="A15" s="9" t="s">
        <v>159</v>
      </c>
      <c r="B15" s="9" t="s">
        <v>141</v>
      </c>
      <c r="C15" s="7">
        <v>82</v>
      </c>
      <c r="D15" s="8">
        <v>0.5</v>
      </c>
      <c r="E15" s="7">
        <v>4</v>
      </c>
      <c r="F15" s="8">
        <v>4.9000000000000004</v>
      </c>
      <c r="G15" s="6" t="s">
        <v>158</v>
      </c>
    </row>
    <row r="16" spans="1:7" x14ac:dyDescent="0.35">
      <c r="A16" s="31" t="s">
        <v>160</v>
      </c>
      <c r="B16" s="31" t="s">
        <v>161</v>
      </c>
      <c r="C16" s="32">
        <v>62000</v>
      </c>
      <c r="D16" s="33">
        <v>7.8</v>
      </c>
      <c r="E16" s="32">
        <v>13800</v>
      </c>
      <c r="F16" s="33">
        <v>22.3</v>
      </c>
      <c r="G16" s="24" t="s">
        <v>162</v>
      </c>
    </row>
    <row r="19" spans="1:7" ht="52" customHeight="1" x14ac:dyDescent="0.35">
      <c r="A19" s="34" t="s">
        <v>163</v>
      </c>
      <c r="B19" s="35"/>
      <c r="C19" s="35"/>
      <c r="D19" s="35"/>
      <c r="E19" s="35"/>
      <c r="F19" s="35"/>
      <c r="G19" s="35"/>
    </row>
  </sheetData>
  <mergeCells count="3">
    <mergeCell ref="A19:G1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National_Yearwise</vt:lpstr>
      <vt:lpstr>Statewise_Collection</vt:lpstr>
      <vt:lpstr>README_DataDictionary</vt:lpstr>
      <vt:lpstr>Global_Benchmarking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Nilanjit Phulia</cp:lastModifiedBy>
  <dcterms:created xsi:type="dcterms:W3CDTF">2026-05-20T09:36:16Z</dcterms:created>
  <dcterms:modified xsi:type="dcterms:W3CDTF">2026-05-20T10:24:04Z</dcterms:modified>
</cp:coreProperties>
</file>